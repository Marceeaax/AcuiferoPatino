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-geo (2)" sheetId="1" r:id="rId4"/>
  </sheets>
  <definedNames>
    <definedName hidden="1" localSheetId="0" name="_xlnm._FilterDatabase">'Resultados-geo (2)'!$A$1:$V$1</definedName>
  </definedNames>
  <calcPr/>
  <extLst>
    <ext uri="GoogleSheetsCustomDataVersion2">
      <go:sheetsCustomData xmlns:go="http://customooxmlschemas.google.com/" r:id="rId5" roundtripDataChecksum="7bNRoxO9ssAURMZVeIQ7LKZQO8yYCLx6442yCC3h5aM="/>
    </ext>
  </extLst>
</workbook>
</file>

<file path=xl/sharedStrings.xml><?xml version="1.0" encoding="utf-8"?>
<sst xmlns="http://schemas.openxmlformats.org/spreadsheetml/2006/main" count="52" uniqueCount="50">
  <si>
    <t>ID</t>
  </si>
  <si>
    <t>x</t>
  </si>
  <si>
    <t>y</t>
  </si>
  <si>
    <t>Nombre</t>
  </si>
  <si>
    <t>Ciudad</t>
  </si>
  <si>
    <t>OD mg/L</t>
  </si>
  <si>
    <t>pH</t>
  </si>
  <si>
    <t>Cond.Elec</t>
  </si>
  <si>
    <t>Alcalinidad total</t>
  </si>
  <si>
    <t>Cloruros</t>
  </si>
  <si>
    <t>Sulfatos</t>
  </si>
  <si>
    <t>Calcio</t>
  </si>
  <si>
    <t>Materia Organica</t>
  </si>
  <si>
    <t>Magnesio</t>
  </si>
  <si>
    <t>Dureza total</t>
  </si>
  <si>
    <t>N-Nitritos</t>
  </si>
  <si>
    <t>Nitritos</t>
  </si>
  <si>
    <t>N-Nitratos</t>
  </si>
  <si>
    <t>Nitratos</t>
  </si>
  <si>
    <t>Sodio</t>
  </si>
  <si>
    <t>Coliformes fecales</t>
  </si>
  <si>
    <t>Calificacion</t>
  </si>
  <si>
    <t>Pz01</t>
  </si>
  <si>
    <t>Esc. Fe y Alegria</t>
  </si>
  <si>
    <t>Mariano R. Alonso</t>
  </si>
  <si>
    <t>Pz02</t>
  </si>
  <si>
    <t>Comision Vecinal Sta. Rosa de Lima</t>
  </si>
  <si>
    <t>Limpio</t>
  </si>
  <si>
    <t>Pz03</t>
  </si>
  <si>
    <t>Esc. C. A. Lopez</t>
  </si>
  <si>
    <t>Asuncion</t>
  </si>
  <si>
    <t>Pz04</t>
  </si>
  <si>
    <t>Col. Fernando de la Mora</t>
  </si>
  <si>
    <t>Fernando de la Mora</t>
  </si>
  <si>
    <t>Pz05</t>
  </si>
  <si>
    <t>Aguateria Privada Florentin</t>
  </si>
  <si>
    <t>Lambare</t>
  </si>
  <si>
    <t>Pz06</t>
  </si>
  <si>
    <t>Esc. Julio Cosme Gutierrez</t>
  </si>
  <si>
    <t>Villa Elisa</t>
  </si>
  <si>
    <t>Pz07</t>
  </si>
  <si>
    <t>Aguateria Privada Hidroservic</t>
  </si>
  <si>
    <t>Capiata</t>
  </si>
  <si>
    <t>Pz08</t>
  </si>
  <si>
    <t>Col. San Lorenzo</t>
  </si>
  <si>
    <t>San Lorenzo</t>
  </si>
  <si>
    <t>Pz09</t>
  </si>
  <si>
    <t>Esc. Don Luis Braille</t>
  </si>
  <si>
    <t>Pz10</t>
  </si>
  <si>
    <t>Facultad de Ingenieria FIUNA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</si>
</sst>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Border="1" applyFont="1"/>
    <xf borderId="0" fillId="0" fontId="2" numFmtId="0" xfId="0" applyFont="1"/>
    <xf borderId="1" fillId="0" fontId="2" numFmtId="0" xfId="0" applyBorder="1" applyFont="1"/>
    <xf borderId="1" fillId="0" fontId="2" numFmtId="2" xfId="0" applyBorder="1" applyFont="1" applyNumberFormat="1"/>
    <xf borderId="1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2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/>
    </xf>
    <xf borderId="1" fillId="0" fontId="3" numFmtId="2" xfId="0" applyBorder="1" applyFont="1" applyNumberFormat="1"/>
    <xf borderId="1" fillId="0" fontId="2" numFmtId="2" xfId="0" applyAlignment="1" applyBorder="1" applyFont="1" applyNumberFormat="1">
      <alignment horizontal="center"/>
    </xf>
    <xf borderId="1" fillId="0" fontId="1" numFmtId="164" xfId="0" applyBorder="1" applyFont="1" applyNumberFormat="1"/>
    <xf borderId="2" fillId="0" fontId="3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9.75"/>
    <col customWidth="1" min="3" max="3" width="10.0"/>
    <col customWidth="1" min="4" max="4" width="27.63"/>
    <col customWidth="1" min="5" max="5" width="17.88"/>
    <col customWidth="1" min="6" max="6" width="12.5"/>
    <col customWidth="1" min="7" max="7" width="9.63"/>
    <col customWidth="1" min="8" max="8" width="13.0"/>
    <col customWidth="1" min="9" max="21" width="10.63"/>
    <col customWidth="1" min="22" max="22" width="12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1" t="s">
        <v>20</v>
      </c>
      <c r="V1" s="5" t="s">
        <v>21</v>
      </c>
      <c r="W1" s="6"/>
      <c r="X1" s="6"/>
      <c r="Y1" s="6"/>
    </row>
    <row r="2" ht="14.25" customHeight="1">
      <c r="A2" s="5" t="s">
        <v>22</v>
      </c>
      <c r="B2" s="7">
        <v>447214.0</v>
      </c>
      <c r="C2" s="7">
        <v>7210014.0</v>
      </c>
      <c r="D2" s="5" t="s">
        <v>23</v>
      </c>
      <c r="E2" s="7" t="s">
        <v>24</v>
      </c>
      <c r="F2" s="8">
        <v>5.12</v>
      </c>
      <c r="G2" s="8">
        <v>6.77</v>
      </c>
      <c r="H2" s="9">
        <v>1783.0</v>
      </c>
      <c r="I2" s="10">
        <v>226.0</v>
      </c>
      <c r="J2" s="10">
        <v>207.0</v>
      </c>
      <c r="K2" s="10">
        <v>207.0</v>
      </c>
      <c r="L2" s="10">
        <v>27.7</v>
      </c>
      <c r="M2" s="11">
        <v>5.62</v>
      </c>
      <c r="N2" s="10">
        <v>9.36</v>
      </c>
      <c r="O2" s="10">
        <v>104.0</v>
      </c>
      <c r="P2" s="10">
        <v>0.043</v>
      </c>
      <c r="Q2" s="12">
        <f t="shared" ref="Q2:Q11" si="1">P2*1.645</f>
        <v>0.070735</v>
      </c>
      <c r="R2" s="10">
        <v>1.74</v>
      </c>
      <c r="S2" s="13">
        <f t="shared" ref="S2:S11" si="2">R2*4.43</f>
        <v>7.7082</v>
      </c>
      <c r="T2" s="14">
        <v>241.0</v>
      </c>
      <c r="U2" s="11">
        <v>23.0</v>
      </c>
      <c r="V2" s="7">
        <v>3.0</v>
      </c>
      <c r="W2" s="6"/>
      <c r="X2" s="6"/>
      <c r="Y2" s="6"/>
    </row>
    <row r="3" ht="24.0" customHeight="1">
      <c r="A3" s="5" t="s">
        <v>25</v>
      </c>
      <c r="B3" s="7">
        <v>452897.0</v>
      </c>
      <c r="C3" s="7">
        <v>7218837.0</v>
      </c>
      <c r="D3" s="15" t="s">
        <v>26</v>
      </c>
      <c r="E3" s="7" t="s">
        <v>27</v>
      </c>
      <c r="F3" s="8">
        <v>6.72</v>
      </c>
      <c r="G3" s="8">
        <v>6.97</v>
      </c>
      <c r="H3" s="9">
        <v>1624.0</v>
      </c>
      <c r="I3" s="10">
        <v>332.0</v>
      </c>
      <c r="J3" s="10">
        <v>191.0</v>
      </c>
      <c r="K3" s="10">
        <v>133.0</v>
      </c>
      <c r="L3" s="10">
        <v>103.0</v>
      </c>
      <c r="M3" s="10">
        <v>0.955</v>
      </c>
      <c r="N3" s="11">
        <v>116.0</v>
      </c>
      <c r="O3" s="11">
        <v>718.0</v>
      </c>
      <c r="P3" s="10">
        <v>0.0365</v>
      </c>
      <c r="Q3" s="12">
        <f t="shared" si="1"/>
        <v>0.0600425</v>
      </c>
      <c r="R3" s="10">
        <v>6.56</v>
      </c>
      <c r="S3" s="13">
        <f t="shared" si="2"/>
        <v>29.0608</v>
      </c>
      <c r="T3" s="16">
        <v>99.8</v>
      </c>
      <c r="U3" s="11">
        <v>1.1</v>
      </c>
      <c r="V3" s="7">
        <v>2.0</v>
      </c>
      <c r="W3" s="6"/>
      <c r="X3" s="6"/>
      <c r="Y3" s="6"/>
    </row>
    <row r="4" ht="14.25" customHeight="1">
      <c r="A4" s="5" t="s">
        <v>28</v>
      </c>
      <c r="B4" s="7">
        <v>445234.0</v>
      </c>
      <c r="C4" s="7">
        <v>7208320.0</v>
      </c>
      <c r="D4" s="5" t="s">
        <v>29</v>
      </c>
      <c r="E4" s="7" t="s">
        <v>30</v>
      </c>
      <c r="F4" s="8">
        <v>3.54</v>
      </c>
      <c r="G4" s="17">
        <v>5.9</v>
      </c>
      <c r="H4" s="7">
        <v>122.0</v>
      </c>
      <c r="I4" s="10">
        <v>40.4</v>
      </c>
      <c r="J4" s="10">
        <v>4.44</v>
      </c>
      <c r="K4" s="10">
        <v>2.0</v>
      </c>
      <c r="L4" s="10">
        <v>3.3</v>
      </c>
      <c r="M4" s="10">
        <v>0.0224</v>
      </c>
      <c r="N4" s="10">
        <v>1.23</v>
      </c>
      <c r="O4" s="10">
        <v>12.9</v>
      </c>
      <c r="P4" s="10">
        <v>0.008</v>
      </c>
      <c r="Q4" s="18">
        <f t="shared" si="1"/>
        <v>0.01316</v>
      </c>
      <c r="R4" s="10">
        <v>2.41</v>
      </c>
      <c r="S4" s="13">
        <f t="shared" si="2"/>
        <v>10.6763</v>
      </c>
      <c r="T4" s="16">
        <v>5.56</v>
      </c>
      <c r="U4" s="11">
        <v>5.1</v>
      </c>
      <c r="V4" s="7">
        <v>1.0</v>
      </c>
      <c r="W4" s="6"/>
      <c r="X4" s="6"/>
      <c r="Y4" s="6"/>
    </row>
    <row r="5" ht="14.25" customHeight="1">
      <c r="A5" s="19" t="s">
        <v>31</v>
      </c>
      <c r="B5" s="7">
        <v>445242.0</v>
      </c>
      <c r="C5" s="7">
        <v>7199682.0</v>
      </c>
      <c r="D5" s="5" t="s">
        <v>32</v>
      </c>
      <c r="E5" s="7" t="s">
        <v>33</v>
      </c>
      <c r="F5" s="8">
        <v>3.7</v>
      </c>
      <c r="G5" s="17">
        <v>5.44</v>
      </c>
      <c r="H5" s="7">
        <v>112.0</v>
      </c>
      <c r="I5" s="10">
        <v>18.9</v>
      </c>
      <c r="J5" s="10">
        <v>11.5</v>
      </c>
      <c r="K5" s="10">
        <v>2.0</v>
      </c>
      <c r="L5" s="10">
        <v>7.0</v>
      </c>
      <c r="M5" s="10">
        <v>0.144</v>
      </c>
      <c r="N5" s="10">
        <v>4.04</v>
      </c>
      <c r="O5" s="10">
        <v>33.5</v>
      </c>
      <c r="P5" s="10">
        <v>0.0345</v>
      </c>
      <c r="Q5" s="12">
        <f t="shared" si="1"/>
        <v>0.0567525</v>
      </c>
      <c r="R5" s="10">
        <v>1.53</v>
      </c>
      <c r="S5" s="13">
        <f t="shared" si="2"/>
        <v>6.7779</v>
      </c>
      <c r="T5" s="16">
        <v>18.7</v>
      </c>
      <c r="U5" s="11">
        <v>5.1</v>
      </c>
      <c r="V5" s="7">
        <v>1.0</v>
      </c>
      <c r="W5" s="6"/>
      <c r="X5" s="6"/>
      <c r="Y5" s="6"/>
    </row>
    <row r="6" ht="14.25" customHeight="1">
      <c r="A6" s="19" t="s">
        <v>34</v>
      </c>
      <c r="B6" s="7">
        <v>440406.0</v>
      </c>
      <c r="C6" s="7">
        <v>7197024.0</v>
      </c>
      <c r="D6" s="5" t="s">
        <v>35</v>
      </c>
      <c r="E6" s="7" t="s">
        <v>36</v>
      </c>
      <c r="F6" s="7">
        <v>2.13</v>
      </c>
      <c r="G6" s="9">
        <v>5.26</v>
      </c>
      <c r="H6" s="7">
        <v>519.0</v>
      </c>
      <c r="I6" s="10">
        <v>31.7</v>
      </c>
      <c r="J6" s="10">
        <v>0.823</v>
      </c>
      <c r="K6" s="10">
        <v>5.97</v>
      </c>
      <c r="L6" s="10">
        <v>38.0</v>
      </c>
      <c r="M6" s="10">
        <v>0.188</v>
      </c>
      <c r="N6" s="10">
        <v>13.1</v>
      </c>
      <c r="O6" s="10">
        <v>144.0</v>
      </c>
      <c r="P6" s="10">
        <v>0.085</v>
      </c>
      <c r="Q6" s="12">
        <f t="shared" si="1"/>
        <v>0.139825</v>
      </c>
      <c r="R6" s="10">
        <v>30.3</v>
      </c>
      <c r="S6" s="20">
        <f t="shared" si="2"/>
        <v>134.229</v>
      </c>
      <c r="T6" s="16">
        <v>4.52</v>
      </c>
      <c r="U6" s="11">
        <v>1.1</v>
      </c>
      <c r="V6" s="7">
        <v>2.0</v>
      </c>
      <c r="W6" s="6"/>
      <c r="X6" s="6"/>
      <c r="Y6" s="6"/>
    </row>
    <row r="7" ht="14.25" customHeight="1">
      <c r="A7" s="19" t="s">
        <v>37</v>
      </c>
      <c r="B7" s="7">
        <v>439228.0</v>
      </c>
      <c r="C7" s="7">
        <v>7192551.0</v>
      </c>
      <c r="D7" s="5" t="s">
        <v>38</v>
      </c>
      <c r="E7" s="7" t="s">
        <v>39</v>
      </c>
      <c r="F7" s="7">
        <v>5.36</v>
      </c>
      <c r="G7" s="17">
        <v>6.017</v>
      </c>
      <c r="H7" s="7">
        <v>48.0</v>
      </c>
      <c r="I7" s="10">
        <v>17.9</v>
      </c>
      <c r="J7" s="10">
        <v>0.823</v>
      </c>
      <c r="K7" s="10">
        <v>2.0</v>
      </c>
      <c r="L7" s="10">
        <v>6.2</v>
      </c>
      <c r="M7" s="10">
        <v>0.889</v>
      </c>
      <c r="N7" s="10">
        <v>0.27</v>
      </c>
      <c r="O7" s="10">
        <v>14.9</v>
      </c>
      <c r="P7" s="10">
        <v>0.012</v>
      </c>
      <c r="Q7" s="18">
        <f t="shared" si="1"/>
        <v>0.01974</v>
      </c>
      <c r="R7" s="10">
        <v>1.34</v>
      </c>
      <c r="S7" s="13">
        <f t="shared" si="2"/>
        <v>5.9362</v>
      </c>
      <c r="T7" s="16">
        <v>0.25</v>
      </c>
      <c r="U7" s="11">
        <v>23.0</v>
      </c>
      <c r="V7" s="7">
        <v>2.0</v>
      </c>
      <c r="W7" s="6"/>
      <c r="X7" s="6"/>
      <c r="Y7" s="6"/>
    </row>
    <row r="8" ht="14.25" customHeight="1">
      <c r="A8" s="19" t="s">
        <v>40</v>
      </c>
      <c r="B8" s="7">
        <v>454177.0</v>
      </c>
      <c r="C8" s="7">
        <v>7195903.0</v>
      </c>
      <c r="D8" s="5" t="s">
        <v>41</v>
      </c>
      <c r="E8" s="7" t="s">
        <v>42</v>
      </c>
      <c r="F8" s="7">
        <v>6.94</v>
      </c>
      <c r="G8" s="9">
        <v>5.18</v>
      </c>
      <c r="H8" s="7">
        <v>237.0</v>
      </c>
      <c r="I8" s="10">
        <v>8.74</v>
      </c>
      <c r="J8" s="10">
        <v>11.2</v>
      </c>
      <c r="K8" s="10">
        <v>2.0</v>
      </c>
      <c r="L8" s="10">
        <v>12.8</v>
      </c>
      <c r="M8" s="10">
        <v>0.271</v>
      </c>
      <c r="N8" s="10">
        <v>5.77</v>
      </c>
      <c r="O8" s="10">
        <v>54.0</v>
      </c>
      <c r="P8" s="10">
        <v>0.005</v>
      </c>
      <c r="Q8" s="18">
        <f t="shared" si="1"/>
        <v>0.008225</v>
      </c>
      <c r="R8" s="10">
        <v>9.86</v>
      </c>
      <c r="S8" s="13">
        <f t="shared" si="2"/>
        <v>43.6798</v>
      </c>
      <c r="T8" s="16">
        <v>0.25</v>
      </c>
      <c r="U8" s="11">
        <v>23.0</v>
      </c>
      <c r="V8" s="7">
        <v>3.0</v>
      </c>
      <c r="W8" s="6"/>
      <c r="X8" s="6"/>
      <c r="Y8" s="6"/>
    </row>
    <row r="9" ht="14.25" customHeight="1">
      <c r="A9" s="19" t="s">
        <v>43</v>
      </c>
      <c r="B9" s="7">
        <v>449203.0</v>
      </c>
      <c r="C9" s="7">
        <v>7197024.0</v>
      </c>
      <c r="D9" s="5" t="s">
        <v>44</v>
      </c>
      <c r="E9" s="7" t="s">
        <v>45</v>
      </c>
      <c r="F9" s="7">
        <v>3.28</v>
      </c>
      <c r="G9" s="17">
        <v>5.023</v>
      </c>
      <c r="H9" s="7">
        <v>413.0</v>
      </c>
      <c r="I9" s="10">
        <v>13.3</v>
      </c>
      <c r="J9" s="10">
        <v>17.4</v>
      </c>
      <c r="K9" s="10">
        <v>15.1</v>
      </c>
      <c r="L9" s="10">
        <v>26.5</v>
      </c>
      <c r="M9" s="10">
        <v>0.313</v>
      </c>
      <c r="N9" s="10">
        <v>12.5</v>
      </c>
      <c r="O9" s="10">
        <v>114.0</v>
      </c>
      <c r="P9" s="10">
        <v>0.005</v>
      </c>
      <c r="Q9" s="18">
        <f t="shared" si="1"/>
        <v>0.008225</v>
      </c>
      <c r="R9" s="10">
        <v>25.8</v>
      </c>
      <c r="S9" s="20">
        <f t="shared" si="2"/>
        <v>114.294</v>
      </c>
      <c r="T9" s="16">
        <v>5.34</v>
      </c>
      <c r="U9" s="11">
        <v>9.2</v>
      </c>
      <c r="V9" s="7">
        <v>2.0</v>
      </c>
      <c r="W9" s="6"/>
      <c r="X9" s="6"/>
      <c r="Y9" s="6"/>
    </row>
    <row r="10">
      <c r="A10" s="19" t="s">
        <v>46</v>
      </c>
      <c r="B10" s="7">
        <v>440552.0</v>
      </c>
      <c r="C10" s="7">
        <v>7200679.0</v>
      </c>
      <c r="D10" s="15" t="s">
        <v>47</v>
      </c>
      <c r="E10" s="7" t="s">
        <v>30</v>
      </c>
      <c r="F10" s="7">
        <v>2.25</v>
      </c>
      <c r="G10" s="9">
        <v>5.55</v>
      </c>
      <c r="H10" s="7">
        <v>347.0</v>
      </c>
      <c r="I10" s="10">
        <v>27.1</v>
      </c>
      <c r="J10" s="10">
        <v>2.04</v>
      </c>
      <c r="K10" s="10">
        <v>7.4</v>
      </c>
      <c r="L10" s="10">
        <v>21.1</v>
      </c>
      <c r="M10" s="10">
        <v>0.31</v>
      </c>
      <c r="N10" s="10">
        <v>4.31</v>
      </c>
      <c r="O10" s="10">
        <v>97.4</v>
      </c>
      <c r="P10" s="10">
        <v>0.005</v>
      </c>
      <c r="Q10" s="18">
        <f t="shared" si="1"/>
        <v>0.008225</v>
      </c>
      <c r="R10" s="10">
        <v>16.3</v>
      </c>
      <c r="S10" s="20">
        <f t="shared" si="2"/>
        <v>72.209</v>
      </c>
      <c r="T10" s="16">
        <v>11.0</v>
      </c>
      <c r="U10" s="11">
        <v>5.1</v>
      </c>
      <c r="V10" s="7">
        <v>2.0</v>
      </c>
      <c r="W10" s="6"/>
      <c r="X10" s="6"/>
      <c r="Y10" s="6"/>
    </row>
    <row r="11" ht="14.25" customHeight="1">
      <c r="A11" s="19" t="s">
        <v>48</v>
      </c>
      <c r="B11" s="7">
        <v>447845.0</v>
      </c>
      <c r="C11" s="7">
        <v>7198196.0</v>
      </c>
      <c r="D11" s="5" t="s">
        <v>49</v>
      </c>
      <c r="E11" s="7" t="s">
        <v>45</v>
      </c>
      <c r="F11" s="7">
        <v>7.55</v>
      </c>
      <c r="G11" s="9">
        <v>5.46</v>
      </c>
      <c r="H11" s="7">
        <v>36.0</v>
      </c>
      <c r="I11" s="10">
        <v>22.5</v>
      </c>
      <c r="J11" s="10">
        <v>3.47</v>
      </c>
      <c r="K11" s="10">
        <v>2.0</v>
      </c>
      <c r="L11" s="10">
        <v>2.5</v>
      </c>
      <c r="M11" s="10">
        <v>0.23</v>
      </c>
      <c r="N11" s="10">
        <v>1.47</v>
      </c>
      <c r="O11" s="10">
        <v>11.9</v>
      </c>
      <c r="P11" s="10">
        <v>0.005</v>
      </c>
      <c r="Q11" s="18">
        <f t="shared" si="1"/>
        <v>0.008225</v>
      </c>
      <c r="R11" s="10">
        <v>0.138</v>
      </c>
      <c r="S11" s="13">
        <f t="shared" si="2"/>
        <v>0.61134</v>
      </c>
      <c r="T11" s="16">
        <v>1.67</v>
      </c>
      <c r="U11" s="10">
        <v>0.0</v>
      </c>
      <c r="V11" s="7">
        <v>1.0</v>
      </c>
      <c r="W11" s="6"/>
      <c r="X11" s="6"/>
      <c r="Y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autoFilter ref="$A$1:$V$1">
    <sortState ref="A1:V1">
      <sortCondition ref="A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2025-04-07T19:18:48Z</dcterms:created>
  <dc:creator>Liz Báez</dc:creator>
</cp:coreProperties>
</file>